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/>
  <workbookPr/>
  <mc:AlternateContent xmlns:mc="http://schemas.openxmlformats.org/markup-compatibility/2006">
    <mc:Choice Requires="x15">
      <x15ac:absPath xmlns:x15ac="http://schemas.microsoft.com/office/spreadsheetml/2010/11/ac" url="/Users/akash/Desktop/Domain-Webscraper/"/>
    </mc:Choice>
  </mc:AlternateContent>
  <bookViews>
    <workbookView xWindow="640" yWindow="1180" windowWidth="28160" windowHeight="15960" tabRatio="500"/>
  </bookViews>
  <sheets>
    <sheet name="auctionresults" sheetId="1" r:id="rId1"/>
  </sheets>
  <definedNames>
    <definedName name="_xlnm._FilterDatabase" localSheetId="0" hidden="1">auctionresults!$B$1:$E$31</definedName>
  </definedName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8" i="1" l="1"/>
  <c r="E4" i="1"/>
  <c r="E9" i="1"/>
  <c r="E6" i="1"/>
  <c r="E7" i="1"/>
  <c r="E8" i="1"/>
  <c r="E16" i="1"/>
  <c r="E10" i="1"/>
  <c r="E11" i="1"/>
  <c r="E12" i="1"/>
  <c r="E13" i="1"/>
  <c r="E5" i="1"/>
  <c r="E15" i="1"/>
  <c r="E3" i="1"/>
  <c r="E17" i="1"/>
  <c r="E20" i="1"/>
  <c r="E14" i="1"/>
  <c r="E29" i="1"/>
  <c r="E21" i="1"/>
  <c r="E22" i="1"/>
  <c r="E23" i="1"/>
  <c r="E24" i="1"/>
  <c r="E25" i="1"/>
  <c r="E26" i="1"/>
  <c r="E27" i="1"/>
  <c r="E19" i="1"/>
  <c r="E18" i="1"/>
  <c r="E30" i="1"/>
  <c r="E31" i="1"/>
  <c r="E2" i="1"/>
</calcChain>
</file>

<file path=xl/sharedStrings.xml><?xml version="1.0" encoding="utf-8"?>
<sst xmlns="http://schemas.openxmlformats.org/spreadsheetml/2006/main" count="35" uniqueCount="35">
  <si>
    <t>passed_in_property</t>
  </si>
  <si>
    <t>price_in_auction</t>
  </si>
  <si>
    <t>price_from_on_the_house</t>
  </si>
  <si>
    <t>41 Belmar Avenue Altona</t>
  </si>
  <si>
    <t>143 McIntosh Road Altona North</t>
  </si>
  <si>
    <t>39A Munro Avenue Ashburton</t>
  </si>
  <si>
    <t>38 Street Raphael Street Avondale Heights</t>
  </si>
  <si>
    <t>29 Belgrove Avenue Balwyn</t>
  </si>
  <si>
    <t>414 Camp Road Broadmeadows</t>
  </si>
  <si>
    <t>8 Paringa Way Burnside</t>
  </si>
  <si>
    <t>16 Basil Street Dromana</t>
  </si>
  <si>
    <t>14 Shelley Street Elwood</t>
  </si>
  <si>
    <t>45 Alec Crescent Fawkner</t>
  </si>
  <si>
    <t>27 Denbigh Street Frankston</t>
  </si>
  <si>
    <t>14 Glenview Court Glen Waverley</t>
  </si>
  <si>
    <t>1 Melrose Avenue Highton</t>
  </si>
  <si>
    <t>39 Wolviston Avenue Hillside</t>
  </si>
  <si>
    <t>16 Lakeside Crescent Keilor East</t>
  </si>
  <si>
    <t>761 High Street Kew East</t>
  </si>
  <si>
    <t>12 Henderson Drive Lara</t>
  </si>
  <si>
    <t>30 Pedder Street Manor Lakes</t>
  </si>
  <si>
    <t>276b Waverley Road Mount Waverley</t>
  </si>
  <si>
    <t>42 Bradley Street Newport</t>
  </si>
  <si>
    <t>20 Bruce Street Newport</t>
  </si>
  <si>
    <t>43 Jeffers Street Noble Park</t>
  </si>
  <si>
    <t>5 Tamborine Avenue Point Cook</t>
  </si>
  <si>
    <t>34 Victorking Drive Point Cook</t>
  </si>
  <si>
    <t>23 Margaret Street Rippleside</t>
  </si>
  <si>
    <t>2 Mason Court Shepparton East</t>
  </si>
  <si>
    <t>4 Somerset Drive Sunshine North</t>
  </si>
  <si>
    <t>1 Links Street Sunshine West</t>
  </si>
  <si>
    <t>41 Wyndham Street Werribee</t>
  </si>
  <si>
    <t>55-67 Batman Street West Melbourne</t>
  </si>
  <si>
    <t>Difference</t>
  </si>
  <si>
    <t>asking_price_from_realestate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</si>
</sst>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8" formatCode="&quot;$&quot;#,##0.00_);[Red]\(&quot;$&quot;#,##0.00\)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6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F31"/>
  <sheetViews>
    <sheetView tabSelected="1" workbookViewId="0">
      <selection activeCell="B3" sqref="B3"/>
    </sheetView>
  </sheetViews>
  <sheetFormatPr baseColWidth="10" defaultRowHeight="16" x14ac:dyDescent="0.2"/>
  <cols>
    <col min="2" max="2" width="35.6640625" bestFit="1" customWidth="1"/>
    <col min="3" max="3" width="14.6640625" bestFit="1" customWidth="1"/>
    <col min="4" max="4" width="22.83203125" bestFit="1" customWidth="1"/>
    <col min="6" max="6" width="22.33203125" customWidth="1"/>
  </cols>
  <sheetData>
    <row r="1" spans="1:6" x14ac:dyDescent="0.2">
      <c r="B1" t="s">
        <v>0</v>
      </c>
      <c r="C1" t="s">
        <v>1</v>
      </c>
      <c r="D1" t="s">
        <v>2</v>
      </c>
      <c r="E1" t="s">
        <v>33</v>
      </c>
      <c r="F1" t="s">
        <v>34</v>
      </c>
    </row>
    <row r="2" spans="1:6" hidden="1" x14ac:dyDescent="0.2">
      <c r="A2">
        <v>0</v>
      </c>
      <c r="B2" t="s">
        <v>3</v>
      </c>
      <c r="C2">
        <v>0</v>
      </c>
      <c r="D2" s="1">
        <v>775000</v>
      </c>
      <c r="E2" s="1">
        <f>D2-C2</f>
        <v>775000</v>
      </c>
    </row>
    <row r="3" spans="1:6" x14ac:dyDescent="0.2">
      <c r="A3">
        <v>1</v>
      </c>
      <c r="B3" t="s">
        <v>17</v>
      </c>
      <c r="C3">
        <v>565000</v>
      </c>
      <c r="D3" s="1">
        <v>725000</v>
      </c>
      <c r="E3" s="1">
        <f>D3-C3</f>
        <v>160000</v>
      </c>
    </row>
    <row r="4" spans="1:6" hidden="1" x14ac:dyDescent="0.2">
      <c r="A4">
        <v>2</v>
      </c>
      <c r="B4" t="s">
        <v>5</v>
      </c>
      <c r="C4">
        <v>0</v>
      </c>
      <c r="D4" s="1">
        <v>970000</v>
      </c>
      <c r="E4" s="1">
        <f>D4-C4</f>
        <v>970000</v>
      </c>
    </row>
    <row r="5" spans="1:6" hidden="1" x14ac:dyDescent="0.2">
      <c r="A5">
        <v>3</v>
      </c>
      <c r="B5" t="s">
        <v>15</v>
      </c>
      <c r="C5">
        <v>660000</v>
      </c>
      <c r="D5" s="1">
        <v>800000</v>
      </c>
      <c r="E5" s="1">
        <f>D5-C5</f>
        <v>140000</v>
      </c>
      <c r="F5">
        <v>840000</v>
      </c>
    </row>
    <row r="6" spans="1:6" x14ac:dyDescent="0.2">
      <c r="A6">
        <v>4</v>
      </c>
      <c r="B6" t="s">
        <v>7</v>
      </c>
      <c r="C6">
        <v>0</v>
      </c>
      <c r="D6" s="1">
        <v>635000</v>
      </c>
      <c r="E6" s="1">
        <f>D6-C6</f>
        <v>635000</v>
      </c>
    </row>
    <row r="7" spans="1:6" x14ac:dyDescent="0.2">
      <c r="A7">
        <v>5</v>
      </c>
      <c r="B7" t="s">
        <v>8</v>
      </c>
      <c r="C7">
        <v>465000</v>
      </c>
      <c r="D7" s="1">
        <v>460000</v>
      </c>
      <c r="E7" s="1">
        <f>D7-C7</f>
        <v>-5000</v>
      </c>
    </row>
    <row r="8" spans="1:6" x14ac:dyDescent="0.2">
      <c r="A8">
        <v>6</v>
      </c>
      <c r="B8" t="s">
        <v>9</v>
      </c>
      <c r="C8">
        <v>680000</v>
      </c>
      <c r="D8" s="1">
        <v>650000</v>
      </c>
      <c r="E8" s="1">
        <f>D8-C8</f>
        <v>-30000</v>
      </c>
    </row>
    <row r="9" spans="1:6" hidden="1" x14ac:dyDescent="0.2">
      <c r="A9">
        <v>7</v>
      </c>
      <c r="B9" t="s">
        <v>6</v>
      </c>
      <c r="C9">
        <v>730000</v>
      </c>
      <c r="D9" s="1">
        <v>845000</v>
      </c>
      <c r="E9" s="1">
        <f>D9-C9</f>
        <v>115000</v>
      </c>
    </row>
    <row r="10" spans="1:6" x14ac:dyDescent="0.2">
      <c r="A10">
        <v>8</v>
      </c>
      <c r="B10" t="s">
        <v>11</v>
      </c>
      <c r="C10">
        <v>0</v>
      </c>
      <c r="D10" s="1">
        <v>725000</v>
      </c>
      <c r="E10" s="1">
        <f>D10-C10</f>
        <v>725000</v>
      </c>
    </row>
    <row r="11" spans="1:6" x14ac:dyDescent="0.2">
      <c r="A11">
        <v>9</v>
      </c>
      <c r="B11" t="s">
        <v>12</v>
      </c>
      <c r="C11">
        <v>570000</v>
      </c>
      <c r="D11">
        <v>0</v>
      </c>
      <c r="E11" s="1">
        <f>D11-C11</f>
        <v>-570000</v>
      </c>
    </row>
    <row r="12" spans="1:6" x14ac:dyDescent="0.2">
      <c r="A12">
        <v>10</v>
      </c>
      <c r="B12" t="s">
        <v>13</v>
      </c>
      <c r="C12">
        <v>600000</v>
      </c>
      <c r="D12">
        <v>0</v>
      </c>
      <c r="E12" s="1">
        <f>D12-C12</f>
        <v>-600000</v>
      </c>
    </row>
    <row r="13" spans="1:6" hidden="1" x14ac:dyDescent="0.2">
      <c r="A13">
        <v>11</v>
      </c>
      <c r="B13" t="s">
        <v>14</v>
      </c>
      <c r="C13">
        <v>0</v>
      </c>
      <c r="D13" s="2">
        <v>1500000</v>
      </c>
      <c r="E13" s="1">
        <f>D13-C13</f>
        <v>1500000</v>
      </c>
    </row>
    <row r="14" spans="1:6" hidden="1" x14ac:dyDescent="0.2">
      <c r="A14">
        <v>12</v>
      </c>
      <c r="B14" t="s">
        <v>20</v>
      </c>
      <c r="C14">
        <v>660000</v>
      </c>
      <c r="D14" s="1">
        <v>770000</v>
      </c>
      <c r="E14" s="1">
        <f>D14-C14</f>
        <v>110000</v>
      </c>
    </row>
    <row r="15" spans="1:6" x14ac:dyDescent="0.2">
      <c r="A15">
        <v>13</v>
      </c>
      <c r="B15" t="s">
        <v>16</v>
      </c>
      <c r="C15">
        <v>739000</v>
      </c>
      <c r="D15" s="1">
        <v>735000</v>
      </c>
      <c r="E15" s="1">
        <f>D15-C15</f>
        <v>-4000</v>
      </c>
    </row>
    <row r="16" spans="1:6" x14ac:dyDescent="0.2">
      <c r="A16">
        <v>14</v>
      </c>
      <c r="B16" t="s">
        <v>10</v>
      </c>
      <c r="C16">
        <v>460000</v>
      </c>
      <c r="D16" s="1">
        <v>565000</v>
      </c>
      <c r="E16" s="1">
        <f>D16-C16</f>
        <v>105000</v>
      </c>
    </row>
    <row r="17" spans="1:5" x14ac:dyDescent="0.2">
      <c r="A17">
        <v>15</v>
      </c>
      <c r="B17" t="s">
        <v>18</v>
      </c>
      <c r="C17">
        <v>0</v>
      </c>
      <c r="D17" s="1">
        <v>740000</v>
      </c>
      <c r="E17" s="1">
        <f>D17-C17</f>
        <v>740000</v>
      </c>
    </row>
    <row r="18" spans="1:5" x14ac:dyDescent="0.2">
      <c r="A18">
        <v>16</v>
      </c>
      <c r="B18" t="s">
        <v>30</v>
      </c>
      <c r="C18">
        <v>530000</v>
      </c>
      <c r="D18" s="1">
        <v>600000</v>
      </c>
      <c r="E18" s="1">
        <f>D18-C18</f>
        <v>70000</v>
      </c>
    </row>
    <row r="19" spans="1:5" x14ac:dyDescent="0.2">
      <c r="A19">
        <v>17</v>
      </c>
      <c r="B19" t="s">
        <v>29</v>
      </c>
      <c r="C19">
        <v>665000</v>
      </c>
      <c r="D19" s="1">
        <v>730000</v>
      </c>
      <c r="E19" s="1">
        <f>D19-C19</f>
        <v>65000</v>
      </c>
    </row>
    <row r="20" spans="1:5" x14ac:dyDescent="0.2">
      <c r="A20">
        <v>18</v>
      </c>
      <c r="B20" t="s">
        <v>19</v>
      </c>
      <c r="C20">
        <v>460000</v>
      </c>
      <c r="D20" s="1">
        <v>510000</v>
      </c>
      <c r="E20" s="1">
        <f>D20-C20</f>
        <v>50000</v>
      </c>
    </row>
    <row r="21" spans="1:5" x14ac:dyDescent="0.2">
      <c r="A21">
        <v>19</v>
      </c>
      <c r="B21" t="s">
        <v>22</v>
      </c>
      <c r="C21">
        <v>0</v>
      </c>
      <c r="D21" s="1">
        <v>500000</v>
      </c>
      <c r="E21" s="1">
        <f>D21-C21</f>
        <v>500000</v>
      </c>
    </row>
    <row r="22" spans="1:5" x14ac:dyDescent="0.2">
      <c r="A22">
        <v>20</v>
      </c>
      <c r="B22" t="s">
        <v>23</v>
      </c>
      <c r="C22">
        <v>0</v>
      </c>
      <c r="D22" s="2">
        <v>1</v>
      </c>
      <c r="E22" s="1">
        <f>D22-C22</f>
        <v>1</v>
      </c>
    </row>
    <row r="23" spans="1:5" x14ac:dyDescent="0.2">
      <c r="A23">
        <v>21</v>
      </c>
      <c r="B23" t="s">
        <v>24</v>
      </c>
      <c r="C23">
        <v>0</v>
      </c>
      <c r="D23" s="1">
        <v>660000</v>
      </c>
      <c r="E23" s="1">
        <f>D23-C23</f>
        <v>660000</v>
      </c>
    </row>
    <row r="24" spans="1:5" x14ac:dyDescent="0.2">
      <c r="A24">
        <v>22</v>
      </c>
      <c r="B24" t="s">
        <v>25</v>
      </c>
      <c r="C24">
        <v>600000</v>
      </c>
      <c r="D24">
        <v>0</v>
      </c>
      <c r="E24" s="1">
        <f>D24-C24</f>
        <v>-600000</v>
      </c>
    </row>
    <row r="25" spans="1:5" x14ac:dyDescent="0.2">
      <c r="A25">
        <v>23</v>
      </c>
      <c r="B25" t="s">
        <v>26</v>
      </c>
      <c r="C25">
        <v>560000</v>
      </c>
      <c r="D25" s="1">
        <v>610000</v>
      </c>
      <c r="E25" s="1">
        <f>D25-C25</f>
        <v>50000</v>
      </c>
    </row>
    <row r="26" spans="1:5" x14ac:dyDescent="0.2">
      <c r="A26">
        <v>24</v>
      </c>
      <c r="B26" t="s">
        <v>27</v>
      </c>
      <c r="C26">
        <v>0</v>
      </c>
      <c r="D26" s="1">
        <v>735000</v>
      </c>
      <c r="E26" s="1">
        <f>D26-C26</f>
        <v>735000</v>
      </c>
    </row>
    <row r="27" spans="1:5" x14ac:dyDescent="0.2">
      <c r="A27">
        <v>25</v>
      </c>
      <c r="B27" t="s">
        <v>28</v>
      </c>
      <c r="C27">
        <v>0</v>
      </c>
      <c r="D27" s="1">
        <v>600000</v>
      </c>
      <c r="E27" s="1">
        <f>D27-C27</f>
        <v>600000</v>
      </c>
    </row>
    <row r="28" spans="1:5" x14ac:dyDescent="0.2">
      <c r="A28">
        <v>26</v>
      </c>
      <c r="B28" t="s">
        <v>4</v>
      </c>
      <c r="C28">
        <v>690000</v>
      </c>
      <c r="D28" s="1">
        <v>710000</v>
      </c>
      <c r="E28" s="1">
        <f>D28-C28</f>
        <v>20000</v>
      </c>
    </row>
    <row r="29" spans="1:5" x14ac:dyDescent="0.2">
      <c r="A29">
        <v>27</v>
      </c>
      <c r="B29" t="s">
        <v>21</v>
      </c>
      <c r="C29">
        <v>0</v>
      </c>
      <c r="D29">
        <v>0</v>
      </c>
      <c r="E29" s="1">
        <f>D29-C29</f>
        <v>0</v>
      </c>
    </row>
    <row r="30" spans="1:5" x14ac:dyDescent="0.2">
      <c r="A30">
        <v>28</v>
      </c>
      <c r="B30" t="s">
        <v>31</v>
      </c>
      <c r="C30">
        <v>500000</v>
      </c>
      <c r="D30">
        <v>0</v>
      </c>
      <c r="E30" s="1">
        <f t="shared" ref="E3:E31" si="0">D30-C30</f>
        <v>-500000</v>
      </c>
    </row>
    <row r="31" spans="1:5" hidden="1" x14ac:dyDescent="0.2">
      <c r="A31">
        <v>29</v>
      </c>
      <c r="B31" t="s">
        <v>32</v>
      </c>
      <c r="C31">
        <v>0</v>
      </c>
      <c r="D31" s="1">
        <v>845000</v>
      </c>
      <c r="E31" s="1">
        <f t="shared" si="0"/>
        <v>845000</v>
      </c>
    </row>
  </sheetData>
  <autoFilter ref="B1:E31">
    <filterColumn colId="2">
      <filters>
        <filter val="$1.00"/>
        <filter val="$460,000"/>
        <filter val="$500,000"/>
        <filter val="$510,000"/>
        <filter val="$565,000"/>
        <filter val="$600,000"/>
        <filter val="$610,000"/>
        <filter val="$635,000"/>
        <filter val="$650,000"/>
        <filter val="$660,000"/>
        <filter val="$710,000"/>
        <filter val="$725,000"/>
        <filter val="$730,000"/>
        <filter val="$735,000"/>
        <filter val="$740,000"/>
        <filter val="0"/>
      </filters>
    </filterColumn>
    <sortState ref="B3:E29">
      <sortCondition descending="1" ref="E1:E3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auctionresults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2019-10-10T00:56:25Z</dcterms:created>
  <dcterms:modified xsi:type="dcterms:W3CDTF">2019-10-10T00:56:25Z</dcterms:modified>
</cp:coreProperties>
</file>